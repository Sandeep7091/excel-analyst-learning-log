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166925"/>
  <mc:AlternateContent xmlns:mc="http://schemas.openxmlformats.org/markup-compatibility/2006">
    <mc:Choice Requires="x15">
      <x15ac:absPath xmlns:x15ac="http://schemas.microsoft.com/office/spreadsheetml/2010/11/ac" url="D:\Excel Course Claude 42 Days\Practice Files\"/>
    </mc:Choice>
  </mc:AlternateContent>
  <xr:revisionPtr revIDLastSave="0" documentId="13_ncr:1_{C29BC84D-EF76-4E0D-A60B-B6EE136D9BFE}" xr6:coauthVersionLast="47" xr6:coauthVersionMax="47" xr10:uidLastSave="{00000000-0000-0000-0000-000000000000}"/>
  <bookViews>
    <workbookView xWindow="-110" yWindow="-110" windowWidth="19420" windowHeight="10300" activeTab="6" xr2:uid="{D3C8B06C-25E9-45CC-AB5D-BE71186B8D18}"/>
  </bookViews>
  <sheets>
    <sheet name="RawData" sheetId="2" r:id="rId1"/>
    <sheet name="PT1" sheetId="5" r:id="rId2"/>
    <sheet name="PT2" sheetId="7" r:id="rId3"/>
    <sheet name="PT3" sheetId="8" r:id="rId4"/>
    <sheet name="PT4" sheetId="9" r:id="rId5"/>
    <sheet name="PivotTables" sheetId="1" r:id="rId6"/>
    <sheet name="Dashboard" sheetId="3" r:id="rId7"/>
    <sheet name="Lists" sheetId="4" r:id="rId8"/>
  </sheets>
  <definedNames>
    <definedName name="_xlnm.Print_Area" localSheetId="6">Dashboard!$A$1:$K$43</definedName>
    <definedName name="Slicer_Product">#N/A</definedName>
    <definedName name="Slicer_Region">#N/A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 i="3" l="1"/>
  <c r="D4" i="3"/>
  <c r="H16" i="2"/>
  <c r="H15" i="2"/>
  <c r="H14" i="2"/>
  <c r="H13" i="2"/>
  <c r="H12" i="2"/>
  <c r="H11" i="2"/>
  <c r="H10" i="2"/>
  <c r="H9" i="2"/>
  <c r="H8" i="2"/>
  <c r="H7" i="2"/>
  <c r="H6" i="2"/>
  <c r="H5" i="2"/>
  <c r="H4" i="2"/>
  <c r="H3" i="2"/>
  <c r="H2" i="2"/>
  <c r="A4" i="3"/>
  <c r="B4" i="3"/>
  <c r="C4" i="3" l="1"/>
</calcChain>
</file>

<file path=xl/sharedStrings.xml><?xml version="1.0" encoding="utf-8"?>
<sst xmlns="http://schemas.openxmlformats.org/spreadsheetml/2006/main" count="238" uniqueCount="47">
  <si>
    <t>T001</t>
  </si>
  <si>
    <t>Arjun</t>
  </si>
  <si>
    <t>North</t>
  </si>
  <si>
    <t>Laptop</t>
  </si>
  <si>
    <t>T002</t>
  </si>
  <si>
    <t>Priya</t>
  </si>
  <si>
    <t>South</t>
  </si>
  <si>
    <t>Mobile</t>
  </si>
  <si>
    <t>T003</t>
  </si>
  <si>
    <t>Rahul</t>
  </si>
  <si>
    <t>East</t>
  </si>
  <si>
    <t>T004</t>
  </si>
  <si>
    <t>Sneha</t>
  </si>
  <si>
    <t>West</t>
  </si>
  <si>
    <t>Tablet</t>
  </si>
  <si>
    <t>T005</t>
  </si>
  <si>
    <t>Vikram</t>
  </si>
  <si>
    <t>T006</t>
  </si>
  <si>
    <t>Anita</t>
  </si>
  <si>
    <t>T007</t>
  </si>
  <si>
    <t>T008</t>
  </si>
  <si>
    <t>T009</t>
  </si>
  <si>
    <t>T010</t>
  </si>
  <si>
    <t>T011</t>
  </si>
  <si>
    <t>T012</t>
  </si>
  <si>
    <t>T013</t>
  </si>
  <si>
    <t>T014</t>
  </si>
  <si>
    <t>T015</t>
  </si>
  <si>
    <t>TxnID</t>
  </si>
  <si>
    <t>Salesperson</t>
  </si>
  <si>
    <t>Region</t>
  </si>
  <si>
    <t>Product</t>
  </si>
  <si>
    <t>Units</t>
  </si>
  <si>
    <t>Price</t>
  </si>
  <si>
    <t>Date</t>
  </si>
  <si>
    <t>Revenue</t>
  </si>
  <si>
    <t>Row Labels</t>
  </si>
  <si>
    <t>Grand Total</t>
  </si>
  <si>
    <t>Sum of Revenue</t>
  </si>
  <si>
    <t>Transactions</t>
  </si>
  <si>
    <t>Sum of Units</t>
  </si>
  <si>
    <t>Jan</t>
  </si>
  <si>
    <t>Feb</t>
  </si>
  <si>
    <t>Mar</t>
  </si>
  <si>
    <t>Total Revenue</t>
  </si>
  <si>
    <t>Avg Revenue</t>
  </si>
  <si>
    <t>Top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</si>
</sst>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 #,##0;[Red]&quot;₹&quot;\ \-#,##0"/>
    <numFmt numFmtId="164" formatCode="dd\-mmm\-yyyy"/>
    <numFmt numFmtId="165" formatCode="\₹#,##0"/>
    <numFmt numFmtId="166" formatCode="&quot;₹&quot;\ #,##0.00"/>
  </numFmts>
  <fonts count="5" x14ac:knownFonts="1">
    <font>
      <sz val="11"/>
      <color theme="1"/>
      <name val="Calibri"/>
      <family val="2"/>
      <scheme val="minor"/>
    </font>
    <font>
      <b/>
      <sz val="11"/>
      <color theme="1"/>
      <name val="Calibri"/>
      <family val="2"/>
      <scheme val="minor"/>
    </font>
    <font>
      <b/>
      <sz val="11"/>
      <color rgb="FFFFFFFF"/>
      <name val="Calibri"/>
      <family val="2"/>
    </font>
    <font>
      <sz val="11"/>
      <name val="Calibri"/>
      <family val="2"/>
    </font>
    <font>
      <b/>
      <sz val="22"/>
      <color theme="1"/>
      <name val="Calibri"/>
      <family val="2"/>
      <scheme val="minor"/>
    </font>
  </fonts>
  <fills count="3">
    <fill>
      <patternFill patternType="none"/>
    </fill>
    <fill>
      <patternFill patternType="gray125"/>
    </fill>
    <fill>
      <patternFill patternType="solid">
        <fgColor rgb="FF1F4E78"/>
        <bgColor rgb="FF003366"/>
      </patternFill>
    </fill>
  </fills>
  <borders count="1">
    <border>
      <left/>
      <right/>
      <top/>
      <bottom/>
      <diagonal/>
    </border>
  </borders>
  <cellStyleXfs count="1">
    <xf numFmtId="0" fontId="0" fillId="0" borderId="0"/>
  </cellStyleXfs>
  <cellXfs count="17">
    <xf numFmtId="0" fontId="0" fillId="0" borderId="0" xfId="0"/>
    <xf numFmtId="6" fontId="0" fillId="0" borderId="0" xfId="0" applyNumberFormat="1"/>
    <xf numFmtId="0" fontId="1" fillId="0" borderId="0" xfId="0" applyFont="1" applyAlignment="1">
      <alignment horizontal="center" vertical="center"/>
    </xf>
    <xf numFmtId="0" fontId="0" fillId="0" borderId="0" xfId="0" applyAlignment="1">
      <alignment horizontal="center" vertical="center"/>
    </xf>
    <xf numFmtId="15" fontId="0" fillId="0" borderId="0" xfId="0" applyNumberFormat="1" applyAlignment="1">
      <alignment horizontal="center" vertical="center"/>
    </xf>
    <xf numFmtId="6" fontId="0" fillId="0" borderId="0" xfId="0" applyNumberFormat="1" applyAlignment="1">
      <alignment horizontal="center" vertical="center"/>
    </xf>
    <xf numFmtId="0" fontId="2" fillId="2" borderId="0" xfId="0" applyFont="1" applyFill="1" applyAlignment="1">
      <alignment horizontal="center"/>
    </xf>
    <xf numFmtId="0" fontId="3" fillId="0" borderId="0" xfId="0" applyFont="1"/>
    <xf numFmtId="164" fontId="3" fillId="0" borderId="0" xfId="0" applyNumberFormat="1" applyFont="1"/>
    <xf numFmtId="165" fontId="3" fillId="0" borderId="0" xfId="0" applyNumberFormat="1" applyFont="1"/>
    <xf numFmtId="0" fontId="0" fillId="0" borderId="0" xfId="0" pivotButton="1"/>
    <xf numFmtId="0" fontId="0" fillId="0" borderId="0" xfId="0" applyAlignment="1">
      <alignment horizontal="left"/>
    </xf>
    <xf numFmtId="166" fontId="0" fillId="0" borderId="0" xfId="0" applyNumberFormat="1" applyAlignment="1">
      <alignment horizontal="center" vertical="center"/>
    </xf>
    <xf numFmtId="2" fontId="0" fillId="0" borderId="0" xfId="0" applyNumberFormat="1" applyAlignment="1">
      <alignment horizontal="center" vertical="center"/>
    </xf>
    <xf numFmtId="0" fontId="0" fillId="0" borderId="0" xfId="0" applyNumberFormat="1"/>
    <xf numFmtId="0" fontId="0" fillId="0" borderId="0" xfId="0" applyProtection="1"/>
    <xf numFmtId="0" fontId="4" fillId="0" borderId="0" xfId="0" applyFont="1" applyAlignment="1">
      <alignment horizontal="center" vertical="center"/>
    </xf>
  </cellXfs>
  <cellStyles count="1">
    <cellStyle name="Normal" xfId="0" builtinId="0"/>
  </cellStyles>
  <dxfs count="1">
    <dxf>
      <protection locked="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11 Practice Dashboard Building.xlsx]PT4!PivotTable6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'PT4'!$B$3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'PT4'!$A$4:$A$7</c:f>
              <c:strCache>
                <c:ptCount val="3"/>
                <c:pt idx="0">
                  <c:v>Jan</c:v>
                </c:pt>
                <c:pt idx="1">
                  <c:v>Feb</c:v>
                </c:pt>
                <c:pt idx="2">
                  <c:v>Mar</c:v>
                </c:pt>
              </c:strCache>
            </c:strRef>
          </c:cat>
          <c:val>
            <c:numRef>
              <c:f>'PT4'!$B$4:$B$7</c:f>
              <c:numCache>
                <c:formatCode>"₹"#,##0_);[Red]\("₹"#,##0\)</c:formatCode>
                <c:ptCount val="3"/>
                <c:pt idx="0">
                  <c:v>12010000</c:v>
                </c:pt>
                <c:pt idx="1">
                  <c:v>9320000</c:v>
                </c:pt>
                <c:pt idx="2">
                  <c:v>7780000</c:v>
                </c:pt>
              </c:numCache>
            </c:numRef>
          </c:val>
          <c:smooth val="0"/>
          <c:extLst>
            <c:ext xmlns:c16="http://schemas.microsoft.com/office/drawing/2014/chart" uri="{C3380CC4-5D6E-409C-BE32-E72D297353CC}">
              <c16:uniqueId val="{00000000-CDF1-4D99-926E-E2AD1596AC2A}"/>
            </c:ext>
          </c:extLst>
        </c:ser>
        <c:dLbls>
          <c:showLegendKey val="0"/>
          <c:showVal val="0"/>
          <c:showCatName val="0"/>
          <c:showSerName val="0"/>
          <c:showPercent val="0"/>
          <c:showBubbleSize val="0"/>
        </c:dLbls>
        <c:marker val="1"/>
        <c:smooth val="0"/>
        <c:axId val="199943151"/>
        <c:axId val="603885071"/>
      </c:lineChart>
      <c:catAx>
        <c:axId val="19994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885071"/>
        <c:crosses val="autoZero"/>
        <c:auto val="1"/>
        <c:lblAlgn val="ctr"/>
        <c:lblOffset val="100"/>
        <c:noMultiLvlLbl val="0"/>
      </c:catAx>
      <c:valAx>
        <c:axId val="6038850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4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11 Practice Dashboard Building.xlsx]PT3!PivotTable5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'PT3'!$B$3</c:f>
              <c:strCache>
                <c:ptCount val="1"/>
                <c:pt idx="0">
                  <c:v>Total</c:v>
                </c:pt>
              </c:strCache>
            </c:strRef>
          </c:tx>
          <c:spPr>
            <a:solidFill>
              <a:schemeClr val="accent1"/>
            </a:solidFill>
            <a:ln>
              <a:noFill/>
            </a:ln>
            <a:effectLst/>
          </c:spPr>
          <c:invertIfNegative val="0"/>
          <c:cat>
            <c:strRef>
              <c:f>'PT3'!$A$4:$A$10</c:f>
              <c:strCache>
                <c:ptCount val="6"/>
                <c:pt idx="0">
                  <c:v>Arjun</c:v>
                </c:pt>
                <c:pt idx="1">
                  <c:v>Rahul</c:v>
                </c:pt>
                <c:pt idx="2">
                  <c:v>Priya</c:v>
                </c:pt>
                <c:pt idx="3">
                  <c:v>Sneha</c:v>
                </c:pt>
                <c:pt idx="4">
                  <c:v>Vikram</c:v>
                </c:pt>
                <c:pt idx="5">
                  <c:v>Anita</c:v>
                </c:pt>
              </c:strCache>
            </c:strRef>
          </c:cat>
          <c:val>
            <c:numRef>
              <c:f>'PT3'!$B$4:$B$10</c:f>
              <c:numCache>
                <c:formatCode>"₹"#,##0_);[Red]\("₹"#,##0\)</c:formatCode>
                <c:ptCount val="6"/>
                <c:pt idx="0">
                  <c:v>7000000</c:v>
                </c:pt>
                <c:pt idx="1">
                  <c:v>5470000</c:v>
                </c:pt>
                <c:pt idx="2">
                  <c:v>4870000</c:v>
                </c:pt>
                <c:pt idx="3">
                  <c:v>4825000</c:v>
                </c:pt>
                <c:pt idx="4">
                  <c:v>4475000</c:v>
                </c:pt>
                <c:pt idx="5">
                  <c:v>2470000</c:v>
                </c:pt>
              </c:numCache>
            </c:numRef>
          </c:val>
          <c:extLst>
            <c:ext xmlns:c16="http://schemas.microsoft.com/office/drawing/2014/chart" uri="{C3380CC4-5D6E-409C-BE32-E72D297353CC}">
              <c16:uniqueId val="{00000000-382C-4635-8AC1-ED83E12619AA}"/>
            </c:ext>
          </c:extLst>
        </c:ser>
        <c:dLbls>
          <c:showLegendKey val="0"/>
          <c:showVal val="0"/>
          <c:showCatName val="0"/>
          <c:showSerName val="0"/>
          <c:showPercent val="0"/>
          <c:showBubbleSize val="0"/>
        </c:dLbls>
        <c:gapWidth val="182"/>
        <c:axId val="588215359"/>
        <c:axId val="603875471"/>
      </c:barChart>
      <c:catAx>
        <c:axId val="588215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875471"/>
        <c:crosses val="autoZero"/>
        <c:auto val="1"/>
        <c:lblAlgn val="ctr"/>
        <c:lblOffset val="100"/>
        <c:noMultiLvlLbl val="0"/>
      </c:catAx>
      <c:valAx>
        <c:axId val="60387547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21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11 Practice Dashboard Building.xlsx]PT1!PivotTable3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'PT1'!$B$3</c:f>
              <c:strCache>
                <c:ptCount val="1"/>
                <c:pt idx="0">
                  <c:v>Sum of Revenue</c:v>
                </c:pt>
              </c:strCache>
            </c:strRef>
          </c:tx>
          <c:spPr>
            <a:solidFill>
              <a:schemeClr val="accent1"/>
            </a:solidFill>
            <a:ln>
              <a:noFill/>
            </a:ln>
            <a:effectLst/>
          </c:spPr>
          <c:invertIfNegative val="0"/>
          <c:cat>
            <c:strRef>
              <c:f>'PT1'!$A$4:$A$8</c:f>
              <c:strCache>
                <c:ptCount val="4"/>
                <c:pt idx="0">
                  <c:v>East</c:v>
                </c:pt>
                <c:pt idx="1">
                  <c:v>North</c:v>
                </c:pt>
                <c:pt idx="2">
                  <c:v>South</c:v>
                </c:pt>
                <c:pt idx="3">
                  <c:v>West</c:v>
                </c:pt>
              </c:strCache>
            </c:strRef>
          </c:cat>
          <c:val>
            <c:numRef>
              <c:f>'PT1'!$B$4:$B$8</c:f>
              <c:numCache>
                <c:formatCode>"₹"#,##0_);[Red]\("₹"#,##0\)</c:formatCode>
                <c:ptCount val="4"/>
                <c:pt idx="0">
                  <c:v>6385000</c:v>
                </c:pt>
                <c:pt idx="1">
                  <c:v>10070000</c:v>
                </c:pt>
                <c:pt idx="2">
                  <c:v>6830000</c:v>
                </c:pt>
                <c:pt idx="3">
                  <c:v>5825000</c:v>
                </c:pt>
              </c:numCache>
            </c:numRef>
          </c:val>
          <c:extLst>
            <c:ext xmlns:c16="http://schemas.microsoft.com/office/drawing/2014/chart" uri="{C3380CC4-5D6E-409C-BE32-E72D297353CC}">
              <c16:uniqueId val="{00000000-FDEE-4F33-BC69-8427AF78462B}"/>
            </c:ext>
          </c:extLst>
        </c:ser>
        <c:ser>
          <c:idx val="1"/>
          <c:order val="1"/>
          <c:tx>
            <c:strRef>
              <c:f>'PT1'!$C$3</c:f>
              <c:strCache>
                <c:ptCount val="1"/>
                <c:pt idx="0">
                  <c:v>Transactions</c:v>
                </c:pt>
              </c:strCache>
            </c:strRef>
          </c:tx>
          <c:spPr>
            <a:solidFill>
              <a:schemeClr val="accent2"/>
            </a:solidFill>
            <a:ln>
              <a:noFill/>
            </a:ln>
            <a:effectLst/>
          </c:spPr>
          <c:invertIfNegative val="0"/>
          <c:cat>
            <c:strRef>
              <c:f>'PT1'!$A$4:$A$8</c:f>
              <c:strCache>
                <c:ptCount val="4"/>
                <c:pt idx="0">
                  <c:v>East</c:v>
                </c:pt>
                <c:pt idx="1">
                  <c:v>North</c:v>
                </c:pt>
                <c:pt idx="2">
                  <c:v>South</c:v>
                </c:pt>
                <c:pt idx="3">
                  <c:v>West</c:v>
                </c:pt>
              </c:strCache>
            </c:strRef>
          </c:cat>
          <c:val>
            <c:numRef>
              <c:f>'PT1'!$C$4:$C$8</c:f>
              <c:numCache>
                <c:formatCode>General</c:formatCode>
                <c:ptCount val="4"/>
                <c:pt idx="0">
                  <c:v>3</c:v>
                </c:pt>
                <c:pt idx="1">
                  <c:v>5</c:v>
                </c:pt>
                <c:pt idx="2">
                  <c:v>4</c:v>
                </c:pt>
                <c:pt idx="3">
                  <c:v>3</c:v>
                </c:pt>
              </c:numCache>
            </c:numRef>
          </c:val>
          <c:extLst>
            <c:ext xmlns:c16="http://schemas.microsoft.com/office/drawing/2014/chart" uri="{C3380CC4-5D6E-409C-BE32-E72D297353CC}">
              <c16:uniqueId val="{00000001-FDEE-4F33-BC69-8427AF78462B}"/>
            </c:ext>
          </c:extLst>
        </c:ser>
        <c:dLbls>
          <c:showLegendKey val="0"/>
          <c:showVal val="0"/>
          <c:showCatName val="0"/>
          <c:showSerName val="0"/>
          <c:showPercent val="0"/>
          <c:showBubbleSize val="0"/>
        </c:dLbls>
        <c:gapWidth val="219"/>
        <c:overlap val="-27"/>
        <c:axId val="992417375"/>
        <c:axId val="603805391"/>
      </c:barChart>
      <c:catAx>
        <c:axId val="99241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805391"/>
        <c:crosses val="autoZero"/>
        <c:auto val="1"/>
        <c:lblAlgn val="ctr"/>
        <c:lblOffset val="100"/>
        <c:noMultiLvlLbl val="0"/>
      </c:catAx>
      <c:valAx>
        <c:axId val="6038053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41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107306</xdr:colOff>
      <xdr:row>15</xdr:row>
      <xdr:rowOff>29510</xdr:rowOff>
    </xdr:from>
    <xdr:to>
      <xdr:col>2</xdr:col>
      <xdr:colOff>592895</xdr:colOff>
      <xdr:row>27</xdr:row>
      <xdr:rowOff>139496</xdr:rowOff>
    </xdr:to>
    <xdr:graphicFrame macro="">
      <xdr:nvGraphicFramePr>
        <xdr:cNvPr id="2" name="Chart 2">
          <a:extLst>
            <a:ext uri="{FF2B5EF4-FFF2-40B4-BE49-F238E27FC236}">
              <a16:creationId xmlns:a16="http://schemas.microsoft.com/office/drawing/2014/main" id="{8BD20C0E-AB10-F48F-83EE-2462EF236D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708518</xdr:colOff>
      <xdr:row>15</xdr:row>
      <xdr:rowOff>27304</xdr:rowOff>
    </xdr:from>
    <xdr:to>
      <xdr:col>10</xdr:col>
      <xdr:colOff>120208</xdr:colOff>
      <xdr:row>27</xdr:row>
      <xdr:rowOff>150567</xdr:rowOff>
    </xdr:to>
    <xdr:graphicFrame macro="">
      <xdr:nvGraphicFramePr>
        <xdr:cNvPr id="3" name="Chart 1">
          <a:extLst>
            <a:ext uri="{FF2B5EF4-FFF2-40B4-BE49-F238E27FC236}">
              <a16:creationId xmlns:a16="http://schemas.microsoft.com/office/drawing/2014/main" id="{7E20B15D-4865-3981-EA63-2BF5F4857E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92364</xdr:colOff>
      <xdr:row>29</xdr:row>
      <xdr:rowOff>101702</xdr:rowOff>
    </xdr:from>
    <xdr:to>
      <xdr:col>3</xdr:col>
      <xdr:colOff>660128</xdr:colOff>
      <xdr:row>42</xdr:row>
      <xdr:rowOff>54638</xdr:rowOff>
    </xdr:to>
    <xdr:graphicFrame macro="">
      <xdr:nvGraphicFramePr>
        <xdr:cNvPr id="4" name="Chart 1">
          <a:extLst>
            <a:ext uri="{FF2B5EF4-FFF2-40B4-BE49-F238E27FC236}">
              <a16:creationId xmlns:a16="http://schemas.microsoft.com/office/drawing/2014/main" id="{0CB5BBFF-AC2E-AD90-C4C8-94226D6A1E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537643</xdr:colOff>
      <xdr:row>4</xdr:row>
      <xdr:rowOff>163470</xdr:rowOff>
    </xdr:from>
    <xdr:to>
      <xdr:col>1</xdr:col>
      <xdr:colOff>745325</xdr:colOff>
      <xdr:row>11</xdr:row>
      <xdr:rowOff>97119</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1CF28036-438E-4611-92C5-7D165506C70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37643" y="1082352"/>
              <a:ext cx="1828800" cy="1241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821426</xdr:colOff>
      <xdr:row>4</xdr:row>
      <xdr:rowOff>48286</xdr:rowOff>
    </xdr:from>
    <xdr:to>
      <xdr:col>4</xdr:col>
      <xdr:colOff>579956</xdr:colOff>
      <xdr:row>12</xdr:row>
      <xdr:rowOff>69951</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1418D76E-99B9-4EE0-92F2-2EFE121D227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09661" y="967168"/>
              <a:ext cx="1827883" cy="1515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eep Kumar" refreshedDate="46204.685351388885" createdVersion="8" refreshedVersion="8" minRefreshableVersion="3" recordCount="15" xr:uid="{517837F1-3804-4AF1-A838-F96B7345FD8C}">
  <cacheSource type="worksheet">
    <worksheetSource ref="A1:H16" sheet="PivotTables"/>
  </cacheSource>
  <cacheFields count="10">
    <cacheField name="TxnID" numFmtId="0">
      <sharedItems/>
    </cacheField>
    <cacheField name="Salesperson" numFmtId="0">
      <sharedItems count="6">
        <s v="Arjun"/>
        <s v="Priya"/>
        <s v="Rahul"/>
        <s v="Sneha"/>
        <s v="Vikram"/>
        <s v="Anita"/>
      </sharedItems>
    </cacheField>
    <cacheField name="Region" numFmtId="0">
      <sharedItems count="4">
        <s v="North"/>
        <s v="South"/>
        <s v="East"/>
        <s v="West"/>
      </sharedItems>
    </cacheField>
    <cacheField name="Product" numFmtId="0">
      <sharedItems count="3">
        <s v="Laptop"/>
        <s v="Mobile"/>
        <s v="Tablet"/>
      </sharedItems>
    </cacheField>
    <cacheField name="Units" numFmtId="0">
      <sharedItems containsSemiMixedTypes="0" containsString="0" containsNumber="1" containsInteger="1" minValue="22" maxValue="200"/>
    </cacheField>
    <cacheField name="Price" numFmtId="0">
      <sharedItems containsSemiMixedTypes="0" containsString="0" containsNumber="1" containsInteger="1" minValue="18000" maxValue="55000"/>
    </cacheField>
    <cacheField name="Date" numFmtId="15">
      <sharedItems containsSemiMixedTypes="0" containsNonDate="0" containsDate="1" containsString="0" minDate="2026-01-05T00:00:00" maxDate="2026-03-29T00:00:00" count="15">
        <d v="2026-01-05T00:00:00"/>
        <d v="2026-01-08T00:00:00"/>
        <d v="2026-01-12T00:00:00"/>
        <d v="2026-01-18T00:00:00"/>
        <d v="2026-01-25T00:00:00"/>
        <d v="2026-02-02T00:00:00"/>
        <d v="2026-02-07T00:00:00"/>
        <d v="2026-02-14T00:00:00"/>
        <d v="2026-02-19T00:00:00"/>
        <d v="2026-02-24T00:00:00"/>
        <d v="2026-03-03T00:00:00"/>
        <d v="2026-03-09T00:00:00"/>
        <d v="2026-03-15T00:00:00"/>
        <d v="2026-03-21T00:00:00"/>
        <d v="2026-03-28T00:00:00"/>
      </sharedItems>
      <fieldGroup par="9"/>
    </cacheField>
    <cacheField name="Revenue" numFmtId="6">
      <sharedItems containsSemiMixedTypes="0" containsString="0" containsNumber="1" containsInteger="1" minValue="875000" maxValue="3600000" count="15">
        <n v="2475000"/>
        <n v="2160000"/>
        <n v="1650000"/>
        <n v="2125000"/>
        <n v="3600000"/>
        <n v="1210000"/>
        <n v="1500000"/>
        <n v="1710000"/>
        <n v="2200000"/>
        <n v="2700000"/>
        <n v="875000"/>
        <n v="1260000"/>
        <n v="3025000"/>
        <n v="1000000"/>
        <n v="1620000"/>
      </sharedItems>
    </cacheField>
    <cacheField name="Days (Date)" numFmtId="0" databaseField="0">
      <fieldGroup base="6">
        <rangePr groupBy="days" startDate="2026-01-05T00:00:00" endDate="2026-03-29T00:00:00"/>
        <groupItems count="368">
          <s v="&lt;05-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3-2026"/>
        </groupItems>
      </fieldGroup>
    </cacheField>
    <cacheField name="Months (Date)" numFmtId="0" databaseField="0">
      <fieldGroup base="6">
        <rangePr groupBy="months" startDate="2026-01-05T00:00:00" endDate="2026-03-29T00:00:00"/>
        <groupItems count="14">
          <s v="&lt;05-01-2026"/>
          <s v="Jan"/>
          <s v="Feb"/>
          <s v="Mar"/>
          <s v="Apr"/>
          <s v="May"/>
          <s v="Jun"/>
          <s v="Jul"/>
          <s v="Aug"/>
          <s v="Sep"/>
          <s v="Oct"/>
          <s v="Nov"/>
          <s v="Dec"/>
          <s v="&gt;29-03-2026"/>
        </groupItems>
      </fieldGroup>
    </cacheField>
  </cacheFields>
  <extLst>
    <ext xmlns:x14="http://schemas.microsoft.com/office/spreadsheetml/2009/9/main" uri="{725AE2AE-9491-48be-B2B4-4EB974FC3084}">
      <x14:pivotCacheDefinition pivotCacheId="19686055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T001"/>
    <x v="0"/>
    <x v="0"/>
    <x v="0"/>
    <n v="45"/>
    <n v="55000"/>
    <x v="0"/>
    <x v="0"/>
  </r>
  <r>
    <s v="T002"/>
    <x v="1"/>
    <x v="1"/>
    <x v="1"/>
    <n v="120"/>
    <n v="18000"/>
    <x v="1"/>
    <x v="1"/>
  </r>
  <r>
    <s v="T003"/>
    <x v="2"/>
    <x v="2"/>
    <x v="0"/>
    <n v="30"/>
    <n v="55000"/>
    <x v="2"/>
    <x v="2"/>
  </r>
  <r>
    <s v="T004"/>
    <x v="3"/>
    <x v="3"/>
    <x v="2"/>
    <n v="85"/>
    <n v="25000"/>
    <x v="3"/>
    <x v="3"/>
  </r>
  <r>
    <s v="T005"/>
    <x v="4"/>
    <x v="0"/>
    <x v="1"/>
    <n v="200"/>
    <n v="18000"/>
    <x v="4"/>
    <x v="4"/>
  </r>
  <r>
    <s v="T006"/>
    <x v="5"/>
    <x v="1"/>
    <x v="0"/>
    <n v="22"/>
    <n v="55000"/>
    <x v="5"/>
    <x v="5"/>
  </r>
  <r>
    <s v="T007"/>
    <x v="0"/>
    <x v="0"/>
    <x v="2"/>
    <n v="60"/>
    <n v="25000"/>
    <x v="6"/>
    <x v="6"/>
  </r>
  <r>
    <s v="T008"/>
    <x v="1"/>
    <x v="2"/>
    <x v="1"/>
    <n v="95"/>
    <n v="18000"/>
    <x v="7"/>
    <x v="7"/>
  </r>
  <r>
    <s v="T009"/>
    <x v="2"/>
    <x v="1"/>
    <x v="0"/>
    <n v="40"/>
    <n v="55000"/>
    <x v="8"/>
    <x v="8"/>
  </r>
  <r>
    <s v="T010"/>
    <x v="3"/>
    <x v="3"/>
    <x v="1"/>
    <n v="150"/>
    <n v="18000"/>
    <x v="9"/>
    <x v="9"/>
  </r>
  <r>
    <s v="T011"/>
    <x v="4"/>
    <x v="0"/>
    <x v="2"/>
    <n v="35"/>
    <n v="25000"/>
    <x v="10"/>
    <x v="10"/>
  </r>
  <r>
    <s v="T012"/>
    <x v="5"/>
    <x v="1"/>
    <x v="1"/>
    <n v="70"/>
    <n v="18000"/>
    <x v="11"/>
    <x v="11"/>
  </r>
  <r>
    <s v="T013"/>
    <x v="0"/>
    <x v="2"/>
    <x v="0"/>
    <n v="55"/>
    <n v="55000"/>
    <x v="12"/>
    <x v="12"/>
  </r>
  <r>
    <s v="T014"/>
    <x v="1"/>
    <x v="3"/>
    <x v="2"/>
    <n v="40"/>
    <n v="25000"/>
    <x v="13"/>
    <x v="13"/>
  </r>
  <r>
    <s v="T015"/>
    <x v="2"/>
    <x v="0"/>
    <x v="1"/>
    <n v="90"/>
    <n v="18000"/>
    <x v="14"/>
    <x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0D2564-6F93-48D4-96E4-F2B6978D680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8" firstHeaderRow="0" firstDataRow="1" firstDataCol="1"/>
  <pivotFields count="10">
    <pivotField dataField="1" showAll="0"/>
    <pivotField showAll="0"/>
    <pivotField axis="axisRow" showAll="0">
      <items count="5">
        <item x="2"/>
        <item x="0"/>
        <item x="1"/>
        <item x="3"/>
        <item t="default"/>
      </items>
    </pivotField>
    <pivotField showAll="0">
      <items count="4">
        <item x="0"/>
        <item x="1"/>
        <item x="2"/>
        <item t="default"/>
      </items>
    </pivotField>
    <pivotField showAll="0"/>
    <pivotField showAll="0"/>
    <pivotField numFmtId="15" showAll="0">
      <items count="16">
        <item x="0"/>
        <item x="1"/>
        <item x="2"/>
        <item x="3"/>
        <item x="4"/>
        <item x="5"/>
        <item x="6"/>
        <item x="7"/>
        <item x="8"/>
        <item x="9"/>
        <item x="10"/>
        <item x="11"/>
        <item x="12"/>
        <item x="13"/>
        <item x="14"/>
        <item t="default"/>
      </items>
    </pivotField>
    <pivotField dataField="1" numFmtId="6" showAll="0">
      <items count="16">
        <item x="10"/>
        <item x="13"/>
        <item x="5"/>
        <item x="11"/>
        <item x="6"/>
        <item x="14"/>
        <item x="2"/>
        <item x="7"/>
        <item x="3"/>
        <item x="1"/>
        <item x="8"/>
        <item x="0"/>
        <item x="9"/>
        <item x="12"/>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Fields count="1">
    <field x="-2"/>
  </colFields>
  <colItems count="2">
    <i>
      <x/>
    </i>
    <i i="1">
      <x v="1"/>
    </i>
  </colItems>
  <dataFields count="2">
    <dataField name="Sum of Revenue" fld="7" baseField="0" baseItem="0" numFmtId="6"/>
    <dataField name="Transactions" fld="0" subtotal="count" baseField="2"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9BF349-79D8-4D2D-B551-43DB105E6A1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10">
    <pivotField showAll="0"/>
    <pivotField showAll="0"/>
    <pivotField showAll="0">
      <items count="5">
        <item x="2"/>
        <item x="0"/>
        <item x="1"/>
        <item x="3"/>
        <item t="default"/>
      </items>
    </pivotField>
    <pivotField axis="axisRow" showAll="0">
      <items count="4">
        <item x="0"/>
        <item x="1"/>
        <item x="2"/>
        <item t="default"/>
      </items>
    </pivotField>
    <pivotField dataField="1" showAll="0"/>
    <pivotField showAll="0"/>
    <pivotField numFmtId="15" showAll="0">
      <items count="16">
        <item x="0"/>
        <item x="1"/>
        <item x="2"/>
        <item x="3"/>
        <item x="4"/>
        <item x="5"/>
        <item x="6"/>
        <item x="7"/>
        <item x="8"/>
        <item x="9"/>
        <item x="10"/>
        <item x="11"/>
        <item x="12"/>
        <item x="13"/>
        <item x="14"/>
        <item t="default"/>
      </items>
    </pivotField>
    <pivotField dataField="1" numFmtId="6" showAll="0">
      <items count="16">
        <item x="10"/>
        <item x="13"/>
        <item x="5"/>
        <item x="11"/>
        <item x="6"/>
        <item x="14"/>
        <item x="2"/>
        <item x="7"/>
        <item x="3"/>
        <item x="1"/>
        <item x="8"/>
        <item x="0"/>
        <item x="9"/>
        <item x="12"/>
        <item x="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Fields count="1">
    <field x="-2"/>
  </colFields>
  <colItems count="2">
    <i>
      <x/>
    </i>
    <i i="1">
      <x v="1"/>
    </i>
  </colItems>
  <dataFields count="2">
    <dataField name="Sum of Revenue" fld="7" baseField="0" baseItem="0" numFmtId="6"/>
    <dataField name="Sum of Unit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611825-F168-462D-8441-16CF8FA0854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0">
    <pivotField showAll="0"/>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items count="4">
        <item x="0"/>
        <item x="1"/>
        <item x="2"/>
        <item t="default"/>
      </items>
    </pivotField>
    <pivotField showAll="0"/>
    <pivotField showAll="0"/>
    <pivotField numFmtId="15" showAll="0">
      <items count="16">
        <item x="0"/>
        <item x="1"/>
        <item x="2"/>
        <item x="3"/>
        <item x="4"/>
        <item x="5"/>
        <item x="6"/>
        <item x="7"/>
        <item x="8"/>
        <item x="9"/>
        <item x="10"/>
        <item x="11"/>
        <item x="12"/>
        <item x="13"/>
        <item x="14"/>
        <item t="default"/>
      </items>
    </pivotField>
    <pivotField dataField="1" numFmtId="6" multipleItemSelectionAllowed="1" showAll="0" sortType="descending">
      <items count="16">
        <item x="4"/>
        <item x="12"/>
        <item x="9"/>
        <item x="0"/>
        <item x="8"/>
        <item x="1"/>
        <item x="3"/>
        <item x="7"/>
        <item x="2"/>
        <item x="14"/>
        <item x="6"/>
        <item x="11"/>
        <item x="5"/>
        <item x="13"/>
        <item x="1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7">
    <i>
      <x v="1"/>
    </i>
    <i>
      <x v="3"/>
    </i>
    <i>
      <x v="2"/>
    </i>
    <i>
      <x v="4"/>
    </i>
    <i>
      <x v="5"/>
    </i>
    <i>
      <x/>
    </i>
    <i t="grand">
      <x/>
    </i>
  </rowItems>
  <colItems count="1">
    <i/>
  </colItems>
  <dataFields count="1">
    <dataField name="Sum of Revenue" fld="7" baseField="1" baseItem="1" numFmtId="6"/>
  </dataFields>
  <formats count="1">
    <format dxfId="0">
      <pivotArea dataOnly="0" labelOnly="1" outline="0" axis="axisValues" fieldPosition="0"/>
    </format>
  </format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743B15-EB27-4896-AE80-4D723A5B566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0">
    <pivotField showAll="0"/>
    <pivotField showAll="0"/>
    <pivotField showAll="0">
      <items count="5">
        <item x="2"/>
        <item x="0"/>
        <item x="1"/>
        <item x="3"/>
        <item t="default"/>
      </items>
    </pivotField>
    <pivotField showAll="0">
      <items count="4">
        <item x="0"/>
        <item x="1"/>
        <item x="2"/>
        <item t="default"/>
      </items>
    </pivotField>
    <pivotField showAll="0"/>
    <pivotField showAll="0"/>
    <pivotField axis="axisRow" numFmtId="15" showAll="0">
      <items count="16">
        <item x="0"/>
        <item x="1"/>
        <item x="2"/>
        <item x="3"/>
        <item x="4"/>
        <item x="5"/>
        <item x="6"/>
        <item x="7"/>
        <item x="8"/>
        <item x="9"/>
        <item x="10"/>
        <item x="11"/>
        <item x="12"/>
        <item x="13"/>
        <item x="14"/>
        <item t="default"/>
      </items>
    </pivotField>
    <pivotField dataField="1" numFmtId="6" showAll="0">
      <items count="16">
        <item x="10"/>
        <item x="13"/>
        <item x="5"/>
        <item x="11"/>
        <item x="6"/>
        <item x="14"/>
        <item x="2"/>
        <item x="7"/>
        <item x="3"/>
        <item x="1"/>
        <item x="8"/>
        <item x="0"/>
        <item x="9"/>
        <item x="12"/>
        <item x="4"/>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6"/>
  </rowFields>
  <rowItems count="4">
    <i>
      <x v="1"/>
    </i>
    <i>
      <x v="2"/>
    </i>
    <i>
      <x v="3"/>
    </i>
    <i t="grand">
      <x/>
    </i>
  </rowItems>
  <colItems count="1">
    <i/>
  </colItems>
  <dataFields count="1">
    <dataField name="Sum of Revenue" fld="7" baseField="0" baseItem="0" numFmtId="6"/>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4ED0EF3-635B-46E1-A73D-73405F85CB5D}" sourceName="Product">
  <pivotTables>
    <pivotTable tabId="5" name="PivotTable3"/>
    <pivotTable tabId="7" name="PivotTable4"/>
    <pivotTable tabId="8" name="PivotTable5"/>
    <pivotTable tabId="9" name="PivotTable6"/>
  </pivotTables>
  <data>
    <tabular pivotCacheId="196860554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ACD842A-7B66-4D99-8119-E642DE85351E}" sourceName="Region">
  <pivotTables>
    <pivotTable tabId="5" name="PivotTable3"/>
    <pivotTable tabId="7" name="PivotTable4"/>
    <pivotTable tabId="8" name="PivotTable5"/>
    <pivotTable tabId="9" name="PivotTable6"/>
  </pivotTables>
  <data>
    <tabular pivotCacheId="1968605546">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4B0D879-E045-443D-87AB-235A257AED39}" cache="Slicer_Product" caption="Product" rowHeight="241300"/>
  <slicer name="Region" xr10:uid="{7E1DB3E0-D61F-4637-8D50-50E97828E46F}"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2486C0-07C7-4F7B-B837-087D739C73FA}" name="SalesData" displayName="SalesData" ref="A1:H16" totalsRowShown="0">
  <autoFilter ref="A1:H16" xr:uid="{772486C0-07C7-4F7B-B837-087D739C73FA}"/>
  <tableColumns count="8">
    <tableColumn id="1" xr3:uid="{73A76A00-26D4-47A3-978D-BB2399E9B503}" name="TxnID"/>
    <tableColumn id="2" xr3:uid="{7E53990F-2131-4624-BBFE-15BF55DF46E4}" name="Salesperson"/>
    <tableColumn id="3" xr3:uid="{DA6F4F14-0893-48B2-A255-8D4D84E3F9D4}" name="Region"/>
    <tableColumn id="4" xr3:uid="{C5740751-EFA1-41A3-B3B3-EEBDB9D3AB66}" name="Product"/>
    <tableColumn id="5" xr3:uid="{839E00DF-EFE2-4F36-8C70-9D41927E7A5E}" name="Units"/>
    <tableColumn id="6" xr3:uid="{993D00F2-147E-40F8-BCC0-D7FCD57A9545}" name="Price"/>
    <tableColumn id="7" xr3:uid="{1F5F1675-5B69-454F-9AF8-8B831EA4113F}" name="Date"/>
    <tableColumn id="8" xr3:uid="{4A56357C-6E0C-4D2E-9D2E-2EEC4B345399}" name="Revenue">
      <calculatedColumnFormula>E2*F2</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0528C-0A11-428D-A85C-FB702B55B243}">
  <sheetPr codeName="Sheet1"/>
  <dimension ref="A1:H16"/>
  <sheetViews>
    <sheetView workbookViewId="0">
      <selection activeCell="F17" sqref="F17"/>
    </sheetView>
  </sheetViews>
  <sheetFormatPr defaultRowHeight="14.5" x14ac:dyDescent="0.35"/>
  <cols>
    <col min="7" max="7" width="11.54296875" bestFit="1" customWidth="1"/>
    <col min="8" max="8" width="12.54296875" bestFit="1" customWidth="1"/>
  </cols>
  <sheetData>
    <row r="1" spans="1:8" x14ac:dyDescent="0.35">
      <c r="A1" s="6" t="s">
        <v>28</v>
      </c>
      <c r="B1" s="6" t="s">
        <v>29</v>
      </c>
      <c r="C1" s="6" t="s">
        <v>30</v>
      </c>
      <c r="D1" s="6" t="s">
        <v>31</v>
      </c>
      <c r="E1" s="6" t="s">
        <v>32</v>
      </c>
      <c r="F1" s="6" t="s">
        <v>33</v>
      </c>
      <c r="G1" s="6" t="s">
        <v>34</v>
      </c>
      <c r="H1" s="6" t="s">
        <v>35</v>
      </c>
    </row>
    <row r="2" spans="1:8" x14ac:dyDescent="0.35">
      <c r="A2" s="7" t="s">
        <v>0</v>
      </c>
      <c r="B2" s="7" t="s">
        <v>1</v>
      </c>
      <c r="C2" s="7" t="s">
        <v>2</v>
      </c>
      <c r="D2" s="7" t="s">
        <v>3</v>
      </c>
      <c r="E2" s="7">
        <v>45</v>
      </c>
      <c r="F2" s="7">
        <v>55000</v>
      </c>
      <c r="G2" s="8">
        <v>46027</v>
      </c>
      <c r="H2" s="9">
        <f t="shared" ref="H2:H16" si="0">E2*F2</f>
        <v>2475000</v>
      </c>
    </row>
    <row r="3" spans="1:8" x14ac:dyDescent="0.35">
      <c r="A3" s="7" t="s">
        <v>4</v>
      </c>
      <c r="B3" s="7" t="s">
        <v>5</v>
      </c>
      <c r="C3" s="7" t="s">
        <v>6</v>
      </c>
      <c r="D3" s="7" t="s">
        <v>7</v>
      </c>
      <c r="E3" s="7">
        <v>120</v>
      </c>
      <c r="F3" s="7">
        <v>18000</v>
      </c>
      <c r="G3" s="8">
        <v>46030</v>
      </c>
      <c r="H3" s="9">
        <f t="shared" si="0"/>
        <v>2160000</v>
      </c>
    </row>
    <row r="4" spans="1:8" x14ac:dyDescent="0.35">
      <c r="A4" s="7" t="s">
        <v>8</v>
      </c>
      <c r="B4" s="7" t="s">
        <v>9</v>
      </c>
      <c r="C4" s="7" t="s">
        <v>10</v>
      </c>
      <c r="D4" s="7" t="s">
        <v>3</v>
      </c>
      <c r="E4" s="7">
        <v>30</v>
      </c>
      <c r="F4" s="7">
        <v>55000</v>
      </c>
      <c r="G4" s="8">
        <v>46034</v>
      </c>
      <c r="H4" s="9">
        <f t="shared" si="0"/>
        <v>1650000</v>
      </c>
    </row>
    <row r="5" spans="1:8" x14ac:dyDescent="0.35">
      <c r="A5" s="7" t="s">
        <v>11</v>
      </c>
      <c r="B5" s="7" t="s">
        <v>12</v>
      </c>
      <c r="C5" s="7" t="s">
        <v>13</v>
      </c>
      <c r="D5" s="7" t="s">
        <v>14</v>
      </c>
      <c r="E5" s="7">
        <v>85</v>
      </c>
      <c r="F5" s="7">
        <v>25000</v>
      </c>
      <c r="G5" s="8">
        <v>46040</v>
      </c>
      <c r="H5" s="9">
        <f t="shared" si="0"/>
        <v>2125000</v>
      </c>
    </row>
    <row r="6" spans="1:8" x14ac:dyDescent="0.35">
      <c r="A6" s="7" t="s">
        <v>15</v>
      </c>
      <c r="B6" s="7" t="s">
        <v>16</v>
      </c>
      <c r="C6" s="7" t="s">
        <v>2</v>
      </c>
      <c r="D6" s="7" t="s">
        <v>7</v>
      </c>
      <c r="E6" s="7">
        <v>200</v>
      </c>
      <c r="F6" s="7">
        <v>18000</v>
      </c>
      <c r="G6" s="8">
        <v>46047</v>
      </c>
      <c r="H6" s="9">
        <f t="shared" si="0"/>
        <v>3600000</v>
      </c>
    </row>
    <row r="7" spans="1:8" x14ac:dyDescent="0.35">
      <c r="A7" s="7" t="s">
        <v>17</v>
      </c>
      <c r="B7" s="7" t="s">
        <v>18</v>
      </c>
      <c r="C7" s="7" t="s">
        <v>6</v>
      </c>
      <c r="D7" s="7" t="s">
        <v>3</v>
      </c>
      <c r="E7" s="7">
        <v>22</v>
      </c>
      <c r="F7" s="7">
        <v>55000</v>
      </c>
      <c r="G7" s="8">
        <v>46055</v>
      </c>
      <c r="H7" s="9">
        <f t="shared" si="0"/>
        <v>1210000</v>
      </c>
    </row>
    <row r="8" spans="1:8" x14ac:dyDescent="0.35">
      <c r="A8" s="7" t="s">
        <v>19</v>
      </c>
      <c r="B8" s="7" t="s">
        <v>1</v>
      </c>
      <c r="C8" s="7" t="s">
        <v>2</v>
      </c>
      <c r="D8" s="7" t="s">
        <v>14</v>
      </c>
      <c r="E8" s="7">
        <v>60</v>
      </c>
      <c r="F8" s="7">
        <v>25000</v>
      </c>
      <c r="G8" s="8">
        <v>46060</v>
      </c>
      <c r="H8" s="9">
        <f t="shared" si="0"/>
        <v>1500000</v>
      </c>
    </row>
    <row r="9" spans="1:8" x14ac:dyDescent="0.35">
      <c r="A9" s="7" t="s">
        <v>20</v>
      </c>
      <c r="B9" s="7" t="s">
        <v>5</v>
      </c>
      <c r="C9" s="7" t="s">
        <v>10</v>
      </c>
      <c r="D9" s="7" t="s">
        <v>7</v>
      </c>
      <c r="E9" s="7">
        <v>95</v>
      </c>
      <c r="F9" s="7">
        <v>18000</v>
      </c>
      <c r="G9" s="8">
        <v>46067</v>
      </c>
      <c r="H9" s="9">
        <f t="shared" si="0"/>
        <v>1710000</v>
      </c>
    </row>
    <row r="10" spans="1:8" x14ac:dyDescent="0.35">
      <c r="A10" s="7" t="s">
        <v>21</v>
      </c>
      <c r="B10" s="7" t="s">
        <v>9</v>
      </c>
      <c r="C10" s="7" t="s">
        <v>6</v>
      </c>
      <c r="D10" s="7" t="s">
        <v>3</v>
      </c>
      <c r="E10" s="7">
        <v>40</v>
      </c>
      <c r="F10" s="7">
        <v>55000</v>
      </c>
      <c r="G10" s="8">
        <v>46072</v>
      </c>
      <c r="H10" s="9">
        <f t="shared" si="0"/>
        <v>2200000</v>
      </c>
    </row>
    <row r="11" spans="1:8" x14ac:dyDescent="0.35">
      <c r="A11" s="7" t="s">
        <v>22</v>
      </c>
      <c r="B11" s="7" t="s">
        <v>12</v>
      </c>
      <c r="C11" s="7" t="s">
        <v>13</v>
      </c>
      <c r="D11" s="7" t="s">
        <v>7</v>
      </c>
      <c r="E11" s="7">
        <v>150</v>
      </c>
      <c r="F11" s="7">
        <v>18000</v>
      </c>
      <c r="G11" s="8">
        <v>46077</v>
      </c>
      <c r="H11" s="9">
        <f t="shared" si="0"/>
        <v>2700000</v>
      </c>
    </row>
    <row r="12" spans="1:8" x14ac:dyDescent="0.35">
      <c r="A12" s="7" t="s">
        <v>23</v>
      </c>
      <c r="B12" s="7" t="s">
        <v>16</v>
      </c>
      <c r="C12" s="7" t="s">
        <v>2</v>
      </c>
      <c r="D12" s="7" t="s">
        <v>14</v>
      </c>
      <c r="E12" s="7">
        <v>35</v>
      </c>
      <c r="F12" s="7">
        <v>25000</v>
      </c>
      <c r="G12" s="8">
        <v>46084</v>
      </c>
      <c r="H12" s="9">
        <f t="shared" si="0"/>
        <v>875000</v>
      </c>
    </row>
    <row r="13" spans="1:8" x14ac:dyDescent="0.35">
      <c r="A13" s="7" t="s">
        <v>24</v>
      </c>
      <c r="B13" s="7" t="s">
        <v>18</v>
      </c>
      <c r="C13" s="7" t="s">
        <v>6</v>
      </c>
      <c r="D13" s="7" t="s">
        <v>7</v>
      </c>
      <c r="E13" s="7">
        <v>70</v>
      </c>
      <c r="F13" s="7">
        <v>18000</v>
      </c>
      <c r="G13" s="8">
        <v>46090</v>
      </c>
      <c r="H13" s="9">
        <f t="shared" si="0"/>
        <v>1260000</v>
      </c>
    </row>
    <row r="14" spans="1:8" x14ac:dyDescent="0.35">
      <c r="A14" s="7" t="s">
        <v>25</v>
      </c>
      <c r="B14" s="7" t="s">
        <v>1</v>
      </c>
      <c r="C14" s="7" t="s">
        <v>10</v>
      </c>
      <c r="D14" s="7" t="s">
        <v>3</v>
      </c>
      <c r="E14" s="7">
        <v>55</v>
      </c>
      <c r="F14" s="7">
        <v>55000</v>
      </c>
      <c r="G14" s="8">
        <v>46096</v>
      </c>
      <c r="H14" s="9">
        <f t="shared" si="0"/>
        <v>3025000</v>
      </c>
    </row>
    <row r="15" spans="1:8" x14ac:dyDescent="0.35">
      <c r="A15" s="7" t="s">
        <v>26</v>
      </c>
      <c r="B15" s="7" t="s">
        <v>5</v>
      </c>
      <c r="C15" s="7" t="s">
        <v>13</v>
      </c>
      <c r="D15" s="7" t="s">
        <v>14</v>
      </c>
      <c r="E15" s="7">
        <v>40</v>
      </c>
      <c r="F15" s="7">
        <v>25000</v>
      </c>
      <c r="G15" s="8">
        <v>46102</v>
      </c>
      <c r="H15" s="9">
        <f t="shared" si="0"/>
        <v>1000000</v>
      </c>
    </row>
    <row r="16" spans="1:8" x14ac:dyDescent="0.35">
      <c r="A16" s="7" t="s">
        <v>27</v>
      </c>
      <c r="B16" s="7" t="s">
        <v>9</v>
      </c>
      <c r="C16" s="7" t="s">
        <v>2</v>
      </c>
      <c r="D16" s="7" t="s">
        <v>7</v>
      </c>
      <c r="E16" s="7">
        <v>90</v>
      </c>
      <c r="F16" s="7">
        <v>18000</v>
      </c>
      <c r="G16" s="8">
        <v>46109</v>
      </c>
      <c r="H16" s="9">
        <f t="shared" si="0"/>
        <v>1620000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543D8-4D08-4F09-8063-CFF3FD5E8EE3}">
  <sheetPr codeName="Sheet2"/>
  <dimension ref="A3:C8"/>
  <sheetViews>
    <sheetView workbookViewId="0">
      <selection activeCell="A6" sqref="A6:C6"/>
      <pivotSelection pane="bottomRight" showHeader="1" extendable="1" start="2" max="5" activeRow="5" click="1" r:id="rId1">
        <pivotArea dataOnly="0" fieldPosition="0">
          <references count="1">
            <reference field="2" count="1">
              <x v="2"/>
            </reference>
          </references>
        </pivotArea>
      </pivotSelection>
    </sheetView>
  </sheetViews>
  <sheetFormatPr defaultRowHeight="14.5" x14ac:dyDescent="0.35"/>
  <cols>
    <col min="1" max="1" width="12.36328125" bestFit="1" customWidth="1"/>
    <col min="2" max="2" width="14.36328125" bestFit="1" customWidth="1"/>
    <col min="3" max="3" width="11.453125" bestFit="1" customWidth="1"/>
  </cols>
  <sheetData>
    <row r="3" spans="1:3" x14ac:dyDescent="0.35">
      <c r="A3" s="10" t="s">
        <v>36</v>
      </c>
      <c r="B3" t="s">
        <v>38</v>
      </c>
      <c r="C3" t="s">
        <v>39</v>
      </c>
    </row>
    <row r="4" spans="1:3" x14ac:dyDescent="0.35">
      <c r="A4" s="11" t="s">
        <v>10</v>
      </c>
      <c r="B4" s="1">
        <v>6385000</v>
      </c>
      <c r="C4" s="14">
        <v>3</v>
      </c>
    </row>
    <row r="5" spans="1:3" x14ac:dyDescent="0.35">
      <c r="A5" s="11" t="s">
        <v>2</v>
      </c>
      <c r="B5" s="1">
        <v>10070000</v>
      </c>
      <c r="C5" s="14">
        <v>5</v>
      </c>
    </row>
    <row r="6" spans="1:3" x14ac:dyDescent="0.35">
      <c r="A6" s="11" t="s">
        <v>6</v>
      </c>
      <c r="B6" s="1">
        <v>6830000</v>
      </c>
      <c r="C6" s="14">
        <v>4</v>
      </c>
    </row>
    <row r="7" spans="1:3" x14ac:dyDescent="0.35">
      <c r="A7" s="11" t="s">
        <v>13</v>
      </c>
      <c r="B7" s="1">
        <v>5825000</v>
      </c>
      <c r="C7" s="14">
        <v>3</v>
      </c>
    </row>
    <row r="8" spans="1:3" x14ac:dyDescent="0.35">
      <c r="A8" s="11" t="s">
        <v>37</v>
      </c>
      <c r="B8" s="1">
        <v>29110000</v>
      </c>
      <c r="C8" s="14">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F20B3-DD56-474B-BE7A-B67B8321656C}">
  <sheetPr codeName="Sheet3"/>
  <dimension ref="A3:C7"/>
  <sheetViews>
    <sheetView workbookViewId="0">
      <selection activeCell="B18" sqref="B18"/>
    </sheetView>
  </sheetViews>
  <sheetFormatPr defaultRowHeight="14.5" x14ac:dyDescent="0.35"/>
  <cols>
    <col min="1" max="1" width="12.36328125" bestFit="1" customWidth="1"/>
    <col min="2" max="2" width="14.36328125" bestFit="1" customWidth="1"/>
    <col min="3" max="3" width="11.453125" bestFit="1" customWidth="1"/>
  </cols>
  <sheetData>
    <row r="3" spans="1:3" x14ac:dyDescent="0.35">
      <c r="A3" s="10" t="s">
        <v>36</v>
      </c>
      <c r="B3" t="s">
        <v>38</v>
      </c>
      <c r="C3" t="s">
        <v>40</v>
      </c>
    </row>
    <row r="4" spans="1:3" x14ac:dyDescent="0.35">
      <c r="A4" s="11" t="s">
        <v>3</v>
      </c>
      <c r="B4" s="1">
        <v>10560000</v>
      </c>
      <c r="C4" s="14">
        <v>192</v>
      </c>
    </row>
    <row r="5" spans="1:3" x14ac:dyDescent="0.35">
      <c r="A5" s="11" t="s">
        <v>7</v>
      </c>
      <c r="B5" s="1">
        <v>13050000</v>
      </c>
      <c r="C5" s="14">
        <v>725</v>
      </c>
    </row>
    <row r="6" spans="1:3" x14ac:dyDescent="0.35">
      <c r="A6" s="11" t="s">
        <v>14</v>
      </c>
      <c r="B6" s="1">
        <v>5500000</v>
      </c>
      <c r="C6" s="14">
        <v>220</v>
      </c>
    </row>
    <row r="7" spans="1:3" x14ac:dyDescent="0.35">
      <c r="A7" s="11" t="s">
        <v>37</v>
      </c>
      <c r="B7" s="1">
        <v>29110000</v>
      </c>
      <c r="C7" s="14">
        <v>1137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F9218-1336-49A4-BB53-897CE771A01A}">
  <sheetPr codeName="Sheet4"/>
  <dimension ref="A3:B10"/>
  <sheetViews>
    <sheetView workbookViewId="0">
      <selection activeCell="C20" sqref="C20"/>
    </sheetView>
  </sheetViews>
  <sheetFormatPr defaultRowHeight="14.5" x14ac:dyDescent="0.35"/>
  <cols>
    <col min="1" max="1" width="12.36328125" bestFit="1" customWidth="1"/>
    <col min="2" max="2" width="14.36328125" bestFit="1" customWidth="1"/>
    <col min="3" max="3" width="15.36328125" bestFit="1" customWidth="1"/>
    <col min="4" max="15" width="10.36328125" bestFit="1" customWidth="1"/>
    <col min="16" max="16" width="9.36328125" bestFit="1" customWidth="1"/>
    <col min="17" max="17" width="11.90625" bestFit="1" customWidth="1"/>
  </cols>
  <sheetData>
    <row r="3" spans="1:2" x14ac:dyDescent="0.35">
      <c r="A3" s="10" t="s">
        <v>36</v>
      </c>
      <c r="B3" s="15" t="s">
        <v>38</v>
      </c>
    </row>
    <row r="4" spans="1:2" x14ac:dyDescent="0.35">
      <c r="A4" s="11" t="s">
        <v>1</v>
      </c>
      <c r="B4" s="1">
        <v>7000000</v>
      </c>
    </row>
    <row r="5" spans="1:2" x14ac:dyDescent="0.35">
      <c r="A5" s="11" t="s">
        <v>9</v>
      </c>
      <c r="B5" s="1">
        <v>5470000</v>
      </c>
    </row>
    <row r="6" spans="1:2" x14ac:dyDescent="0.35">
      <c r="A6" s="11" t="s">
        <v>5</v>
      </c>
      <c r="B6" s="1">
        <v>4870000</v>
      </c>
    </row>
    <row r="7" spans="1:2" x14ac:dyDescent="0.35">
      <c r="A7" s="11" t="s">
        <v>12</v>
      </c>
      <c r="B7" s="1">
        <v>4825000</v>
      </c>
    </row>
    <row r="8" spans="1:2" x14ac:dyDescent="0.35">
      <c r="A8" s="11" t="s">
        <v>16</v>
      </c>
      <c r="B8" s="1">
        <v>4475000</v>
      </c>
    </row>
    <row r="9" spans="1:2" x14ac:dyDescent="0.35">
      <c r="A9" s="11" t="s">
        <v>18</v>
      </c>
      <c r="B9" s="1">
        <v>2470000</v>
      </c>
    </row>
    <row r="10" spans="1:2" x14ac:dyDescent="0.35">
      <c r="A10" s="11" t="s">
        <v>37</v>
      </c>
      <c r="B10" s="1">
        <v>29110000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DFE5-C1E5-418C-A3A2-263D3B93B4C8}">
  <sheetPr codeName="Sheet5"/>
  <dimension ref="A3:B7"/>
  <sheetViews>
    <sheetView workbookViewId="0">
      <selection activeCell="I20" sqref="I20"/>
    </sheetView>
  </sheetViews>
  <sheetFormatPr defaultRowHeight="14.5" x14ac:dyDescent="0.35"/>
  <cols>
    <col min="1" max="1" width="12.36328125" bestFit="1" customWidth="1"/>
    <col min="2" max="2" width="14.36328125" bestFit="1" customWidth="1"/>
  </cols>
  <sheetData>
    <row r="3" spans="1:2" x14ac:dyDescent="0.35">
      <c r="A3" s="10" t="s">
        <v>36</v>
      </c>
      <c r="B3" t="s">
        <v>38</v>
      </c>
    </row>
    <row r="4" spans="1:2" x14ac:dyDescent="0.35">
      <c r="A4" s="11" t="s">
        <v>41</v>
      </c>
      <c r="B4" s="1">
        <v>12010000</v>
      </c>
    </row>
    <row r="5" spans="1:2" x14ac:dyDescent="0.35">
      <c r="A5" s="11" t="s">
        <v>42</v>
      </c>
      <c r="B5" s="1">
        <v>9320000</v>
      </c>
    </row>
    <row r="6" spans="1:2" x14ac:dyDescent="0.35">
      <c r="A6" s="11" t="s">
        <v>43</v>
      </c>
      <c r="B6" s="1">
        <v>7780000</v>
      </c>
    </row>
    <row r="7" spans="1:2" x14ac:dyDescent="0.35">
      <c r="A7" s="11" t="s">
        <v>37</v>
      </c>
      <c r="B7" s="1">
        <v>29110000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BFD65-0D5A-4026-BFF1-2960EA704CEC}">
  <sheetPr codeName="Sheet6"/>
  <dimension ref="A1:H16"/>
  <sheetViews>
    <sheetView workbookViewId="0">
      <selection activeCell="H1" sqref="H1"/>
    </sheetView>
  </sheetViews>
  <sheetFormatPr defaultRowHeight="14.5" x14ac:dyDescent="0.35"/>
  <cols>
    <col min="1" max="1" width="8.7265625" style="3"/>
    <col min="2" max="2" width="10.81640625" style="3" bestFit="1" customWidth="1"/>
    <col min="3" max="6" width="8.7265625" style="3"/>
    <col min="7" max="7" width="9.54296875" style="3" bestFit="1" customWidth="1"/>
    <col min="8" max="8" width="10.1796875" style="3" bestFit="1" customWidth="1"/>
    <col min="9" max="16384" width="8.7265625" style="3"/>
  </cols>
  <sheetData>
    <row r="1" spans="1:8" s="2" customFormat="1" x14ac:dyDescent="0.35">
      <c r="A1" s="2" t="s">
        <v>28</v>
      </c>
      <c r="B1" s="2" t="s">
        <v>29</v>
      </c>
      <c r="C1" s="2" t="s">
        <v>30</v>
      </c>
      <c r="D1" s="2" t="s">
        <v>31</v>
      </c>
      <c r="E1" s="2" t="s">
        <v>32</v>
      </c>
      <c r="F1" s="2" t="s">
        <v>33</v>
      </c>
      <c r="G1" s="2" t="s">
        <v>34</v>
      </c>
      <c r="H1" s="2" t="s">
        <v>35</v>
      </c>
    </row>
    <row r="2" spans="1:8" x14ac:dyDescent="0.35">
      <c r="A2" s="3" t="s">
        <v>0</v>
      </c>
      <c r="B2" s="3" t="s">
        <v>1</v>
      </c>
      <c r="C2" s="3" t="s">
        <v>2</v>
      </c>
      <c r="D2" s="3" t="s">
        <v>3</v>
      </c>
      <c r="E2" s="3">
        <v>45</v>
      </c>
      <c r="F2" s="3">
        <v>55000</v>
      </c>
      <c r="G2" s="4">
        <v>46027</v>
      </c>
      <c r="H2" s="5">
        <v>2475000</v>
      </c>
    </row>
    <row r="3" spans="1:8" x14ac:dyDescent="0.35">
      <c r="A3" s="3" t="s">
        <v>4</v>
      </c>
      <c r="B3" s="3" t="s">
        <v>5</v>
      </c>
      <c r="C3" s="3" t="s">
        <v>6</v>
      </c>
      <c r="D3" s="3" t="s">
        <v>7</v>
      </c>
      <c r="E3" s="3">
        <v>120</v>
      </c>
      <c r="F3" s="3">
        <v>18000</v>
      </c>
      <c r="G3" s="4">
        <v>46030</v>
      </c>
      <c r="H3" s="5">
        <v>2160000</v>
      </c>
    </row>
    <row r="4" spans="1:8" x14ac:dyDescent="0.35">
      <c r="A4" s="3" t="s">
        <v>8</v>
      </c>
      <c r="B4" s="3" t="s">
        <v>9</v>
      </c>
      <c r="C4" s="3" t="s">
        <v>10</v>
      </c>
      <c r="D4" s="3" t="s">
        <v>3</v>
      </c>
      <c r="E4" s="3">
        <v>30</v>
      </c>
      <c r="F4" s="3">
        <v>55000</v>
      </c>
      <c r="G4" s="4">
        <v>46034</v>
      </c>
      <c r="H4" s="5">
        <v>1650000</v>
      </c>
    </row>
    <row r="5" spans="1:8" x14ac:dyDescent="0.35">
      <c r="A5" s="3" t="s">
        <v>11</v>
      </c>
      <c r="B5" s="3" t="s">
        <v>12</v>
      </c>
      <c r="C5" s="3" t="s">
        <v>13</v>
      </c>
      <c r="D5" s="3" t="s">
        <v>14</v>
      </c>
      <c r="E5" s="3">
        <v>85</v>
      </c>
      <c r="F5" s="3">
        <v>25000</v>
      </c>
      <c r="G5" s="4">
        <v>46040</v>
      </c>
      <c r="H5" s="5">
        <v>2125000</v>
      </c>
    </row>
    <row r="6" spans="1:8" x14ac:dyDescent="0.35">
      <c r="A6" s="3" t="s">
        <v>15</v>
      </c>
      <c r="B6" s="3" t="s">
        <v>16</v>
      </c>
      <c r="C6" s="3" t="s">
        <v>2</v>
      </c>
      <c r="D6" s="3" t="s">
        <v>7</v>
      </c>
      <c r="E6" s="3">
        <v>200</v>
      </c>
      <c r="F6" s="3">
        <v>18000</v>
      </c>
      <c r="G6" s="4">
        <v>46047</v>
      </c>
      <c r="H6" s="5">
        <v>3600000</v>
      </c>
    </row>
    <row r="7" spans="1:8" x14ac:dyDescent="0.35">
      <c r="A7" s="3" t="s">
        <v>17</v>
      </c>
      <c r="B7" s="3" t="s">
        <v>18</v>
      </c>
      <c r="C7" s="3" t="s">
        <v>6</v>
      </c>
      <c r="D7" s="3" t="s">
        <v>3</v>
      </c>
      <c r="E7" s="3">
        <v>22</v>
      </c>
      <c r="F7" s="3">
        <v>55000</v>
      </c>
      <c r="G7" s="4">
        <v>46055</v>
      </c>
      <c r="H7" s="5">
        <v>1210000</v>
      </c>
    </row>
    <row r="8" spans="1:8" x14ac:dyDescent="0.35">
      <c r="A8" s="3" t="s">
        <v>19</v>
      </c>
      <c r="B8" s="3" t="s">
        <v>1</v>
      </c>
      <c r="C8" s="3" t="s">
        <v>2</v>
      </c>
      <c r="D8" s="3" t="s">
        <v>14</v>
      </c>
      <c r="E8" s="3">
        <v>60</v>
      </c>
      <c r="F8" s="3">
        <v>25000</v>
      </c>
      <c r="G8" s="4">
        <v>46060</v>
      </c>
      <c r="H8" s="5">
        <v>1500000</v>
      </c>
    </row>
    <row r="9" spans="1:8" x14ac:dyDescent="0.35">
      <c r="A9" s="3" t="s">
        <v>20</v>
      </c>
      <c r="B9" s="3" t="s">
        <v>5</v>
      </c>
      <c r="C9" s="3" t="s">
        <v>10</v>
      </c>
      <c r="D9" s="3" t="s">
        <v>7</v>
      </c>
      <c r="E9" s="3">
        <v>95</v>
      </c>
      <c r="F9" s="3">
        <v>18000</v>
      </c>
      <c r="G9" s="4">
        <v>46067</v>
      </c>
      <c r="H9" s="5">
        <v>1710000</v>
      </c>
    </row>
    <row r="10" spans="1:8" x14ac:dyDescent="0.35">
      <c r="A10" s="3" t="s">
        <v>21</v>
      </c>
      <c r="B10" s="3" t="s">
        <v>9</v>
      </c>
      <c r="C10" s="3" t="s">
        <v>6</v>
      </c>
      <c r="D10" s="3" t="s">
        <v>3</v>
      </c>
      <c r="E10" s="3">
        <v>40</v>
      </c>
      <c r="F10" s="3">
        <v>55000</v>
      </c>
      <c r="G10" s="4">
        <v>46072</v>
      </c>
      <c r="H10" s="5">
        <v>2200000</v>
      </c>
    </row>
    <row r="11" spans="1:8" x14ac:dyDescent="0.35">
      <c r="A11" s="3" t="s">
        <v>22</v>
      </c>
      <c r="B11" s="3" t="s">
        <v>12</v>
      </c>
      <c r="C11" s="3" t="s">
        <v>13</v>
      </c>
      <c r="D11" s="3" t="s">
        <v>7</v>
      </c>
      <c r="E11" s="3">
        <v>150</v>
      </c>
      <c r="F11" s="3">
        <v>18000</v>
      </c>
      <c r="G11" s="4">
        <v>46077</v>
      </c>
      <c r="H11" s="5">
        <v>2700000</v>
      </c>
    </row>
    <row r="12" spans="1:8" x14ac:dyDescent="0.35">
      <c r="A12" s="3" t="s">
        <v>23</v>
      </c>
      <c r="B12" s="3" t="s">
        <v>16</v>
      </c>
      <c r="C12" s="3" t="s">
        <v>2</v>
      </c>
      <c r="D12" s="3" t="s">
        <v>14</v>
      </c>
      <c r="E12" s="3">
        <v>35</v>
      </c>
      <c r="F12" s="3">
        <v>25000</v>
      </c>
      <c r="G12" s="4">
        <v>46084</v>
      </c>
      <c r="H12" s="5">
        <v>875000</v>
      </c>
    </row>
    <row r="13" spans="1:8" x14ac:dyDescent="0.35">
      <c r="A13" s="3" t="s">
        <v>24</v>
      </c>
      <c r="B13" s="3" t="s">
        <v>18</v>
      </c>
      <c r="C13" s="3" t="s">
        <v>6</v>
      </c>
      <c r="D13" s="3" t="s">
        <v>7</v>
      </c>
      <c r="E13" s="3">
        <v>70</v>
      </c>
      <c r="F13" s="3">
        <v>18000</v>
      </c>
      <c r="G13" s="4">
        <v>46090</v>
      </c>
      <c r="H13" s="5">
        <v>1260000</v>
      </c>
    </row>
    <row r="14" spans="1:8" x14ac:dyDescent="0.35">
      <c r="A14" s="3" t="s">
        <v>25</v>
      </c>
      <c r="B14" s="3" t="s">
        <v>1</v>
      </c>
      <c r="C14" s="3" t="s">
        <v>10</v>
      </c>
      <c r="D14" s="3" t="s">
        <v>3</v>
      </c>
      <c r="E14" s="3">
        <v>55</v>
      </c>
      <c r="F14" s="3">
        <v>55000</v>
      </c>
      <c r="G14" s="4">
        <v>46096</v>
      </c>
      <c r="H14" s="5">
        <v>3025000</v>
      </c>
    </row>
    <row r="15" spans="1:8" x14ac:dyDescent="0.35">
      <c r="A15" s="3" t="s">
        <v>26</v>
      </c>
      <c r="B15" s="3" t="s">
        <v>5</v>
      </c>
      <c r="C15" s="3" t="s">
        <v>13</v>
      </c>
      <c r="D15" s="3" t="s">
        <v>14</v>
      </c>
      <c r="E15" s="3">
        <v>40</v>
      </c>
      <c r="F15" s="3">
        <v>25000</v>
      </c>
      <c r="G15" s="4">
        <v>46102</v>
      </c>
      <c r="H15" s="5">
        <v>1000000</v>
      </c>
    </row>
    <row r="16" spans="1:8" x14ac:dyDescent="0.35">
      <c r="A16" s="3" t="s">
        <v>27</v>
      </c>
      <c r="B16" s="3" t="s">
        <v>9</v>
      </c>
      <c r="C16" s="3" t="s">
        <v>2</v>
      </c>
      <c r="D16" s="3" t="s">
        <v>7</v>
      </c>
      <c r="E16" s="3">
        <v>90</v>
      </c>
      <c r="F16" s="3">
        <v>18000</v>
      </c>
      <c r="G16" s="4">
        <v>46109</v>
      </c>
      <c r="H16" s="5">
        <v>1620000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D1618-8408-4A8F-9994-6852D5FE62D4}">
  <sheetPr codeName="Sheet7">
    <pageSetUpPr fitToPage="1"/>
  </sheetPr>
  <dimension ref="A1:D16"/>
  <sheetViews>
    <sheetView showGridLines="0" showRowColHeaders="0" tabSelected="1" zoomScale="85" zoomScaleNormal="85" workbookViewId="0">
      <selection activeCell="C13" sqref="C13"/>
    </sheetView>
  </sheetViews>
  <sheetFormatPr defaultRowHeight="14.5" x14ac:dyDescent="0.35"/>
  <cols>
    <col min="1" max="1" width="23.1796875" style="3" customWidth="1"/>
    <col min="2" max="2" width="19.54296875" customWidth="1"/>
    <col min="3" max="3" width="15.36328125" customWidth="1"/>
    <col min="4" max="4" width="14.26953125" customWidth="1"/>
  </cols>
  <sheetData>
    <row r="1" spans="1:4" ht="28.5" x14ac:dyDescent="0.35">
      <c r="A1" s="16" t="str">
        <f ca="1">"Sales Performance Dashboard · "&amp;TEXT(TODAY(),"mmm yyyy")</f>
        <v>Sales Performance Dashboard · Jul 2026</v>
      </c>
      <c r="B1" s="16"/>
      <c r="C1" s="16"/>
      <c r="D1" s="16"/>
    </row>
    <row r="3" spans="1:4" x14ac:dyDescent="0.35">
      <c r="A3" s="2" t="s">
        <v>44</v>
      </c>
      <c r="B3" s="2" t="s">
        <v>39</v>
      </c>
      <c r="C3" s="2" t="s">
        <v>45</v>
      </c>
      <c r="D3" s="2" t="s">
        <v>46</v>
      </c>
    </row>
    <row r="4" spans="1:4" x14ac:dyDescent="0.35">
      <c r="A4" s="12">
        <f>GETPIVOTDATA("Sum of Revenue",'PT1'!$A$3)</f>
        <v>29110000</v>
      </c>
      <c r="B4" s="13">
        <f>GETPIVOTDATA("Transactions",'PT1'!$A$3)</f>
        <v>15</v>
      </c>
      <c r="C4" s="12">
        <f>A4/B4</f>
        <v>1940666.6666666667</v>
      </c>
      <c r="D4" s="3" t="str">
        <f>INDEX('PT1'!A4:A7,MATCH(MAX('PT1'!B4:B7),'PT1'!B4:B7,0))</f>
        <v>North</v>
      </c>
    </row>
    <row r="5" spans="1:4" x14ac:dyDescent="0.35">
      <c r="B5" s="3"/>
      <c r="C5" s="5"/>
    </row>
    <row r="6" spans="1:4" x14ac:dyDescent="0.35">
      <c r="B6" s="3"/>
      <c r="C6" s="5"/>
    </row>
    <row r="7" spans="1:4" x14ac:dyDescent="0.35">
      <c r="B7" s="3"/>
      <c r="C7" s="5"/>
    </row>
    <row r="8" spans="1:4" x14ac:dyDescent="0.35">
      <c r="B8" s="3"/>
      <c r="C8" s="5"/>
    </row>
    <row r="9" spans="1:4" x14ac:dyDescent="0.35">
      <c r="B9" s="3"/>
      <c r="C9" s="5"/>
    </row>
    <row r="10" spans="1:4" x14ac:dyDescent="0.35">
      <c r="B10" s="3"/>
      <c r="C10" s="5"/>
    </row>
    <row r="11" spans="1:4" x14ac:dyDescent="0.35">
      <c r="B11" s="3"/>
      <c r="C11" s="5"/>
    </row>
    <row r="12" spans="1:4" x14ac:dyDescent="0.35">
      <c r="B12" s="3"/>
      <c r="C12" s="5"/>
    </row>
    <row r="13" spans="1:4" x14ac:dyDescent="0.35">
      <c r="B13" s="3"/>
      <c r="C13" s="5"/>
    </row>
    <row r="14" spans="1:4" x14ac:dyDescent="0.35">
      <c r="B14" s="3"/>
      <c r="C14" s="5"/>
    </row>
    <row r="15" spans="1:4" x14ac:dyDescent="0.35">
      <c r="B15" s="3"/>
      <c r="C15" s="5"/>
    </row>
    <row r="16" spans="1:4" x14ac:dyDescent="0.35">
      <c r="B16" s="3"/>
      <c r="C16" s="5"/>
    </row>
  </sheetData>
  <sheetProtection selectLockedCells="1" pivotTables="0" selectUnlockedCells="1"/>
  <mergeCells count="1">
    <mergeCell ref="A1:D1"/>
  </mergeCells>
  <pageMargins left="0.70866141732283472" right="0.70866141732283472" top="0.74803149606299213" bottom="0.74803149606299213" header="0.31496062992125984" footer="0.31496062992125984"/>
  <pageSetup scale="79" orientation="landscape" horizontalDpi="1200" verticalDpi="1200"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3357C-7068-49EF-8AC4-F7DB101097EF}">
  <sheetPr codeName="Sheet8"/>
  <dimension ref="A1:H16"/>
  <sheetViews>
    <sheetView workbookViewId="0">
      <selection activeCell="G3" sqref="G3"/>
    </sheetView>
  </sheetViews>
  <sheetFormatPr defaultRowHeight="14.5" x14ac:dyDescent="0.35"/>
  <cols>
    <col min="2" max="2" width="10.81640625" bestFit="1" customWidth="1"/>
    <col min="7" max="7" width="9.54296875" bestFit="1" customWidth="1"/>
    <col min="8" max="8" width="10.1796875" bestFit="1" customWidth="1"/>
  </cols>
  <sheetData>
    <row r="1" spans="1:8" x14ac:dyDescent="0.35">
      <c r="A1" s="2" t="s">
        <v>28</v>
      </c>
      <c r="B1" s="2" t="s">
        <v>29</v>
      </c>
      <c r="C1" s="2" t="s">
        <v>30</v>
      </c>
      <c r="D1" s="2" t="s">
        <v>31</v>
      </c>
      <c r="E1" s="2" t="s">
        <v>32</v>
      </c>
      <c r="F1" s="2" t="s">
        <v>33</v>
      </c>
      <c r="G1" s="2" t="s">
        <v>34</v>
      </c>
      <c r="H1" s="2" t="s">
        <v>35</v>
      </c>
    </row>
    <row r="2" spans="1:8" x14ac:dyDescent="0.35">
      <c r="A2" s="3" t="s">
        <v>0</v>
      </c>
      <c r="B2" s="3" t="s">
        <v>1</v>
      </c>
      <c r="C2" s="3" t="s">
        <v>2</v>
      </c>
      <c r="D2" s="3" t="s">
        <v>3</v>
      </c>
      <c r="E2" s="3">
        <v>45</v>
      </c>
      <c r="F2" s="3">
        <v>55000</v>
      </c>
      <c r="G2" s="4">
        <v>46027</v>
      </c>
      <c r="H2" s="5">
        <v>2475000</v>
      </c>
    </row>
    <row r="3" spans="1:8" x14ac:dyDescent="0.35">
      <c r="A3" s="3" t="s">
        <v>4</v>
      </c>
      <c r="B3" s="3" t="s">
        <v>5</v>
      </c>
      <c r="C3" s="3" t="s">
        <v>6</v>
      </c>
      <c r="D3" s="3" t="s">
        <v>7</v>
      </c>
      <c r="E3" s="3">
        <v>120</v>
      </c>
      <c r="F3" s="3">
        <v>18000</v>
      </c>
      <c r="G3" s="4">
        <v>46030</v>
      </c>
      <c r="H3" s="5">
        <v>2160000</v>
      </c>
    </row>
    <row r="4" spans="1:8" x14ac:dyDescent="0.35">
      <c r="A4" s="3" t="s">
        <v>8</v>
      </c>
      <c r="B4" s="3" t="s">
        <v>9</v>
      </c>
      <c r="C4" s="3" t="s">
        <v>10</v>
      </c>
      <c r="D4" s="3" t="s">
        <v>3</v>
      </c>
      <c r="E4" s="3">
        <v>30</v>
      </c>
      <c r="F4" s="3">
        <v>55000</v>
      </c>
      <c r="G4" s="4">
        <v>46034</v>
      </c>
      <c r="H4" s="5">
        <v>1650000</v>
      </c>
    </row>
    <row r="5" spans="1:8" x14ac:dyDescent="0.35">
      <c r="A5" s="3" t="s">
        <v>11</v>
      </c>
      <c r="B5" s="3" t="s">
        <v>12</v>
      </c>
      <c r="C5" s="3" t="s">
        <v>13</v>
      </c>
      <c r="D5" s="3" t="s">
        <v>14</v>
      </c>
      <c r="E5" s="3">
        <v>85</v>
      </c>
      <c r="F5" s="3">
        <v>25000</v>
      </c>
      <c r="G5" s="4">
        <v>46040</v>
      </c>
      <c r="H5" s="5">
        <v>2125000</v>
      </c>
    </row>
    <row r="6" spans="1:8" x14ac:dyDescent="0.35">
      <c r="A6" s="3" t="s">
        <v>15</v>
      </c>
      <c r="B6" s="3" t="s">
        <v>16</v>
      </c>
      <c r="C6" s="3" t="s">
        <v>2</v>
      </c>
      <c r="D6" s="3" t="s">
        <v>7</v>
      </c>
      <c r="E6" s="3">
        <v>200</v>
      </c>
      <c r="F6" s="3">
        <v>18000</v>
      </c>
      <c r="G6" s="4">
        <v>46047</v>
      </c>
      <c r="H6" s="5">
        <v>3600000</v>
      </c>
    </row>
    <row r="7" spans="1:8" x14ac:dyDescent="0.35">
      <c r="A7" s="3" t="s">
        <v>17</v>
      </c>
      <c r="B7" s="3" t="s">
        <v>18</v>
      </c>
      <c r="C7" s="3" t="s">
        <v>6</v>
      </c>
      <c r="D7" s="3" t="s">
        <v>3</v>
      </c>
      <c r="E7" s="3">
        <v>22</v>
      </c>
      <c r="F7" s="3">
        <v>55000</v>
      </c>
      <c r="G7" s="4">
        <v>46055</v>
      </c>
      <c r="H7" s="5">
        <v>1210000</v>
      </c>
    </row>
    <row r="8" spans="1:8" x14ac:dyDescent="0.35">
      <c r="A8" s="3" t="s">
        <v>19</v>
      </c>
      <c r="B8" s="3" t="s">
        <v>1</v>
      </c>
      <c r="C8" s="3" t="s">
        <v>2</v>
      </c>
      <c r="D8" s="3" t="s">
        <v>14</v>
      </c>
      <c r="E8" s="3">
        <v>60</v>
      </c>
      <c r="F8" s="3">
        <v>25000</v>
      </c>
      <c r="G8" s="4">
        <v>46060</v>
      </c>
      <c r="H8" s="5">
        <v>1500000</v>
      </c>
    </row>
    <row r="9" spans="1:8" x14ac:dyDescent="0.35">
      <c r="A9" s="3" t="s">
        <v>20</v>
      </c>
      <c r="B9" s="3" t="s">
        <v>5</v>
      </c>
      <c r="C9" s="3" t="s">
        <v>10</v>
      </c>
      <c r="D9" s="3" t="s">
        <v>7</v>
      </c>
      <c r="E9" s="3">
        <v>95</v>
      </c>
      <c r="F9" s="3">
        <v>18000</v>
      </c>
      <c r="G9" s="4">
        <v>46067</v>
      </c>
      <c r="H9" s="5">
        <v>1710000</v>
      </c>
    </row>
    <row r="10" spans="1:8" x14ac:dyDescent="0.35">
      <c r="A10" s="3" t="s">
        <v>21</v>
      </c>
      <c r="B10" s="3" t="s">
        <v>9</v>
      </c>
      <c r="C10" s="3" t="s">
        <v>6</v>
      </c>
      <c r="D10" s="3" t="s">
        <v>3</v>
      </c>
      <c r="E10" s="3">
        <v>40</v>
      </c>
      <c r="F10" s="3">
        <v>55000</v>
      </c>
      <c r="G10" s="4">
        <v>46072</v>
      </c>
      <c r="H10" s="5">
        <v>2200000</v>
      </c>
    </row>
    <row r="11" spans="1:8" x14ac:dyDescent="0.35">
      <c r="A11" s="3" t="s">
        <v>22</v>
      </c>
      <c r="B11" s="3" t="s">
        <v>12</v>
      </c>
      <c r="C11" s="3" t="s">
        <v>13</v>
      </c>
      <c r="D11" s="3" t="s">
        <v>7</v>
      </c>
      <c r="E11" s="3">
        <v>150</v>
      </c>
      <c r="F11" s="3">
        <v>18000</v>
      </c>
      <c r="G11" s="4">
        <v>46077</v>
      </c>
      <c r="H11" s="5">
        <v>2700000</v>
      </c>
    </row>
    <row r="12" spans="1:8" x14ac:dyDescent="0.35">
      <c r="A12" s="3" t="s">
        <v>23</v>
      </c>
      <c r="B12" s="3" t="s">
        <v>16</v>
      </c>
      <c r="C12" s="3" t="s">
        <v>2</v>
      </c>
      <c r="D12" s="3" t="s">
        <v>14</v>
      </c>
      <c r="E12" s="3">
        <v>35</v>
      </c>
      <c r="F12" s="3">
        <v>25000</v>
      </c>
      <c r="G12" s="4">
        <v>46084</v>
      </c>
      <c r="H12" s="5">
        <v>875000</v>
      </c>
    </row>
    <row r="13" spans="1:8" x14ac:dyDescent="0.35">
      <c r="A13" s="3" t="s">
        <v>24</v>
      </c>
      <c r="B13" s="3" t="s">
        <v>18</v>
      </c>
      <c r="C13" s="3" t="s">
        <v>6</v>
      </c>
      <c r="D13" s="3" t="s">
        <v>7</v>
      </c>
      <c r="E13" s="3">
        <v>70</v>
      </c>
      <c r="F13" s="3">
        <v>18000</v>
      </c>
      <c r="G13" s="4">
        <v>46090</v>
      </c>
      <c r="H13" s="5">
        <v>1260000</v>
      </c>
    </row>
    <row r="14" spans="1:8" x14ac:dyDescent="0.35">
      <c r="A14" s="3" t="s">
        <v>25</v>
      </c>
      <c r="B14" s="3" t="s">
        <v>1</v>
      </c>
      <c r="C14" s="3" t="s">
        <v>10</v>
      </c>
      <c r="D14" s="3" t="s">
        <v>3</v>
      </c>
      <c r="E14" s="3">
        <v>55</v>
      </c>
      <c r="F14" s="3">
        <v>55000</v>
      </c>
      <c r="G14" s="4">
        <v>46096</v>
      </c>
      <c r="H14" s="5">
        <v>3025000</v>
      </c>
    </row>
    <row r="15" spans="1:8" x14ac:dyDescent="0.35">
      <c r="A15" s="3" t="s">
        <v>26</v>
      </c>
      <c r="B15" s="3" t="s">
        <v>5</v>
      </c>
      <c r="C15" s="3" t="s">
        <v>13</v>
      </c>
      <c r="D15" s="3" t="s">
        <v>14</v>
      </c>
      <c r="E15" s="3">
        <v>40</v>
      </c>
      <c r="F15" s="3">
        <v>25000</v>
      </c>
      <c r="G15" s="4">
        <v>46102</v>
      </c>
      <c r="H15" s="5">
        <v>1000000</v>
      </c>
    </row>
    <row r="16" spans="1:8" x14ac:dyDescent="0.35">
      <c r="A16" s="3" t="s">
        <v>27</v>
      </c>
      <c r="B16" s="3" t="s">
        <v>9</v>
      </c>
      <c r="C16" s="3" t="s">
        <v>2</v>
      </c>
      <c r="D16" s="3" t="s">
        <v>7</v>
      </c>
      <c r="E16" s="3">
        <v>90</v>
      </c>
      <c r="F16" s="3">
        <v>18000</v>
      </c>
      <c r="G16" s="4">
        <v>46109</v>
      </c>
      <c r="H16" s="5">
        <v>1620000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RawData</vt:lpstr>
      <vt:lpstr>PT1</vt:lpstr>
      <vt:lpstr>PT2</vt:lpstr>
      <vt:lpstr>PT3</vt:lpstr>
      <vt:lpstr>PT4</vt:lpstr>
      <vt:lpstr>PivotTables</vt:lpstr>
      <vt:lpstr>Dashboard</vt:lpstr>
      <vt:lpstr>Lists</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Kumar</dc:creator>
  <cp:lastModifiedBy>Sandeep Kumar</cp:lastModifiedBy>
  <cp:lastPrinted>2026-07-02T06:39:54Z</cp:lastPrinted>
  <dcterms:created xsi:type="dcterms:W3CDTF">2026-07-01T10:51:53Z</dcterms:created>
  <dcterms:modified xsi:type="dcterms:W3CDTF">2026-07-02T06:40:00Z</dcterms:modified>
</cp:coreProperties>
</file>